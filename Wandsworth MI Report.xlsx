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toluwa/Downloads/"/>
    </mc:Choice>
  </mc:AlternateContent>
  <xr:revisionPtr revIDLastSave="0" documentId="8_{6BDDBF95-9227-8348-87FF-F49BBEA4B2A1}" xr6:coauthVersionLast="47" xr6:coauthVersionMax="47" xr10:uidLastSave="{00000000-0000-0000-0000-000000000000}"/>
  <bookViews>
    <workbookView xWindow="31820" yWindow="600" windowWidth="30240" windowHeight="17860" xr2:uid="{00000000-000D-0000-FFFF-FFFF00000000}"/>
  </bookViews>
  <sheets>
    <sheet name="Data" sheetId="1" r:id="rId1"/>
    <sheet name="MI Report" sheetId="2" r:id="rId2"/>
    <sheet name="Methodology" sheetId="3" r:id="rId3"/>
  </sheets>
  <definedNames>
    <definedName name="_xlnm.Print_Area" localSheetId="1">'MI Report'!$A$1:$H$56</definedName>
  </definedNames>
  <calcPr calcId="0"/>
</workbook>
</file>

<file path=xl/sharedStrings.xml><?xml version="1.0" encoding="utf-8"?>
<sst xmlns="http://schemas.openxmlformats.org/spreadsheetml/2006/main" count="158" uniqueCount="122">
  <si>
    <t>Wandsworth LBC — Revenue Service Expenditure (£000)  |  2021-22 to 2024-25</t>
  </si>
  <si>
    <t>Service Area</t>
  </si>
  <si>
    <t>Directorate</t>
  </si>
  <si>
    <t>Category</t>
  </si>
  <si>
    <t>2021-22</t>
  </si>
  <si>
    <t>2022-23</t>
  </si>
  <si>
    <t>2023-24</t>
  </si>
  <si>
    <t>2024-25</t>
  </si>
  <si>
    <t>Education</t>
  </si>
  <si>
    <t>Children &amp; Young People</t>
  </si>
  <si>
    <t>People Services</t>
  </si>
  <si>
    <t>Highways &amp; Transport</t>
  </si>
  <si>
    <t>Environment &amp; City Management</t>
  </si>
  <si>
    <t>Place Services</t>
  </si>
  <si>
    <t>Children Social Care</t>
  </si>
  <si>
    <t>Adult Social Care</t>
  </si>
  <si>
    <t>Adults &amp; Health</t>
  </si>
  <si>
    <t>Housing</t>
  </si>
  <si>
    <t>Housing &amp; Regeneration</t>
  </si>
  <si>
    <t>Cultural &amp; Related</t>
  </si>
  <si>
    <t>Environmental</t>
  </si>
  <si>
    <t>Planning &amp; Development</t>
  </si>
  <si>
    <t>Central Services</t>
  </si>
  <si>
    <t>Corporate Resources</t>
  </si>
  <si>
    <t>Corporate</t>
  </si>
  <si>
    <t>TOTAL NET SERVICE EXPENDITURE</t>
  </si>
  <si>
    <t>YoY Change (£000)</t>
  </si>
  <si>
    <t>n/a</t>
  </si>
  <si>
    <t>YoY Change (%)</t>
  </si>
  <si>
    <t>WANDSWORTH LONDON BOROUGH COUNCIL</t>
  </si>
  <si>
    <t>Reporting period</t>
  </si>
  <si>
    <t>2021-22 to 2024-25 (four financial years)</t>
  </si>
  <si>
    <t>Prepared by</t>
  </si>
  <si>
    <t>Dorcas Aina, Analyst Officer</t>
  </si>
  <si>
    <t>Date produced</t>
  </si>
  <si>
    <t>April 2026</t>
  </si>
  <si>
    <t>Data source</t>
  </si>
  <si>
    <t>HEADLINE KPI SUMMARY</t>
  </si>
  <si>
    <t>Metric</t>
  </si>
  <si>
    <t>4yr Change</t>
  </si>
  <si>
    <t>4yr Change %</t>
  </si>
  <si>
    <t>Total Net Expenditure</t>
  </si>
  <si>
    <t xml:space="preserve">  Education</t>
  </si>
  <si>
    <t xml:space="preserve">  Adult Social Care</t>
  </si>
  <si>
    <t xml:space="preserve">  Children Social Care</t>
  </si>
  <si>
    <t xml:space="preserve">  Housing</t>
  </si>
  <si>
    <t>People Services total</t>
  </si>
  <si>
    <t>Place Services total</t>
  </si>
  <si>
    <t>EXPENDITURE TREND BY SERVICE AREA (£000) — 2021-22 to 2024-25</t>
  </si>
  <si>
    <t>Service</t>
  </si>
  <si>
    <t>PERFORMANCE COMMENTARY</t>
  </si>
  <si>
    <t>Headline position</t>
  </si>
  <si>
    <t>Total net service expenditure for Wandsworth LBC increased from £390,227k in 2021-22 to £531,043k in 2024-25, a four-year increase of £140,816k (+36.1%). This growth reflects demand-driven pressures across social care and the impact of inflationary cost increases on service delivery budgets throughout the period.</t>
  </si>
  <si>
    <t>Adult Social Care is the most significant driver of expenditure growth, rising +38.2% from £95,316k to £131,770k over the four years. This reflects continued growth in care demand and the sustained impact of National Living Wage increases on provider costs. Adult Social Care now accounts for the single largest share of the council's net service expenditure.</t>
  </si>
  <si>
    <t>Education and Housing</t>
  </si>
  <si>
    <t>Education expenditure increased by 21.7% over the period, driven primarily by increased high needs funding requirements for pupils with Education, Health and Care Plans. Housing showed the sharpest proportional increase (+187.4%), reflecting higher temporary accommodation costs and General Fund Housing pressures.</t>
  </si>
  <si>
    <t>Risk and recommendation</t>
  </si>
  <si>
    <t>The sustained growth trajectory across Adult Social Care, Education (High Needs) and Housing warrants close monitoring against the Medium-Term Financial Strategy. Directorate management teams should be challenged at the next quarterly review to evidence whether demand management and prevention activity is delivering at sufficient scale. No immediate escalation is recommended, but the trend requires active tracking over the next two reporting cycles.</t>
  </si>
  <si>
    <t>METHODOLOGY AND DATA DOCUMENTATION</t>
  </si>
  <si>
    <t>DATA SOURCE</t>
  </si>
  <si>
    <t>Dataset name</t>
  </si>
  <si>
    <t>Publisher</t>
  </si>
  <si>
    <t>Ministry of Housing, Communities and Local Government (DLUHC)</t>
  </si>
  <si>
    <t>Years covered</t>
  </si>
  <si>
    <t>2021-22 (final), 2022-23 (final), 2023-24 (final), 2024-25 (second release, December 2025)</t>
  </si>
  <si>
    <t>Access</t>
  </si>
  <si>
    <t>Download date</t>
  </si>
  <si>
    <t>Geography</t>
  </si>
  <si>
    <t>Unit</t>
  </si>
  <si>
    <t>All expenditure figures reported in £ thousands (£000)</t>
  </si>
  <si>
    <t>SCOPE AND FILTERS</t>
  </si>
  <si>
    <t>Services included</t>
  </si>
  <si>
    <t>Education, Highways &amp; Transport, Children Social Care, Adult Social Care, Housing (GFRA only), Cultural &amp; Related, Environmental &amp; Regulatory, Planning &amp; Development, Central Services</t>
  </si>
  <si>
    <t>Services excluded</t>
  </si>
  <si>
    <t>Basis</t>
  </si>
  <si>
    <t>Non-IAS19 and PFI Off Balance Sheet basis, consistent across all four years</t>
  </si>
  <si>
    <t>Negative values</t>
  </si>
  <si>
    <t>DERIVED CALCULATIONS</t>
  </si>
  <si>
    <t>Current year total minus prior year total. Calculated from totals in the Data tab.</t>
  </si>
  <si>
    <t>YoY Change (£000) divided by the absolute value of prior year total. Expressed as percentage to one decimal place.</t>
  </si>
  <si>
    <t>Four-year change</t>
  </si>
  <si>
    <t>2024-25 value minus 2021-22 value. Used in MI Report KPI summary and commentary.</t>
  </si>
  <si>
    <t>Sum of Education, Children Social Care and Adult Social Care.</t>
  </si>
  <si>
    <t>Sum of Housing, Highways &amp; Transport, Environmental, Cultural &amp; Related and Planning &amp; Development.</t>
  </si>
  <si>
    <t>Category mapping</t>
  </si>
  <si>
    <t>Directorate and category assignments follow Wandsworth's organisational structure as at 2024-25. These are analytical groupings for reporting purposes only.</t>
  </si>
  <si>
    <t>DATA QUALITY NOTES</t>
  </si>
  <si>
    <t>Column consistency</t>
  </si>
  <si>
    <t>Column headings differ between 2021-22/2022-23/2023-24 files (RS row codes) and 2024-25 file (descriptive names). All years verified to use consistent service definitions.</t>
  </si>
  <si>
    <t>2024-25 status</t>
  </si>
  <si>
    <t>Data is from the December 2025 second release. Final outturn may differ marginally at definitive publication.</t>
  </si>
  <si>
    <t>Missing values</t>
  </si>
  <si>
    <t>No missing values identified for Wandsworth across all nine service areas in all four years.</t>
  </si>
  <si>
    <t>KNOWN LIMITATIONS</t>
  </si>
  <si>
    <t>Inflation</t>
  </si>
  <si>
    <t>Scope</t>
  </si>
  <si>
    <t>RS return covers General Fund service expenditure only. Housing Revenue Account (HRA) expenditure is reported separately and is excluded.</t>
  </si>
  <si>
    <t>Comparability</t>
  </si>
  <si>
    <t>Changes to accounting treatment between years may affect strict comparability. No significant reclassifications identified for this period, but not independently verified.</t>
  </si>
  <si>
    <t>Causality</t>
  </si>
  <si>
    <t>This report describes expenditure trends but does not attribute changes to specific causal factors beyond directorate-level commentary.</t>
  </si>
  <si>
    <t>DOCUMENT CONTROL</t>
  </si>
  <si>
    <t>Date</t>
  </si>
  <si>
    <t>Version</t>
  </si>
  <si>
    <t>Audience</t>
  </si>
  <si>
    <t>Classification</t>
  </si>
  <si>
    <t>Source: DLUHC RS Revenue Outturn  |  ONS Code: E09000032  |  January  2026</t>
  </si>
  <si>
    <t>DLUHC RS Revenue Outturn Returns - ONS Code E09000032</t>
  </si>
  <si>
    <t>Revenue Service Expenditure: Management Information Report  |  2021-22 to 2024-25</t>
  </si>
  <si>
    <t>Largest variance: Adult Social Care</t>
  </si>
  <si>
    <t>This tab provides the complete audit trail for this report, data sources, scope decisions, derived calculations and known limitations.</t>
  </si>
  <si>
    <t>DLUHC Revenue Outturn RS Returns - Revenue Outturn Summary (RS) data</t>
  </si>
  <si>
    <t>Downloaded from gov.uk as .xlsx files - one file per financial year</t>
  </si>
  <si>
    <t>Wandsworth London Borough Council - ONS GSS code E09000032</t>
  </si>
  <si>
    <t>Highways &amp; Transport shows negative net expenditure in all years. This is normal for London Boroughs: TfL grant income and recharges exceed gross highway maintenance expenditure. Not adjusted or excluded.</t>
  </si>
  <si>
    <t>Police services and Fire &amp; Rescue (zero for London Boroughs; separate precept bodies). Housing Benefits reported separately and excluded from service expenditure analysis.</t>
  </si>
  <si>
    <t>Highways &amp; Transport negative figures are accurate reported data, not errors or missing values.</t>
  </si>
  <si>
    <t>Figures are cash terms only,  not deflated. Year-on-year increases partly reflect inflation. Real-terms analysis would require applying the GDP deflator or SPPI index.</t>
  </si>
  <si>
    <t>1.0 - initial production</t>
  </si>
  <si>
    <t>Departmental Management Team - performance monitoring purposes</t>
  </si>
  <si>
    <t>Portfolio demonstration piece as all data sourced from publicly available DLUHC Revenue Outturn returns (gov.uk)</t>
  </si>
  <si>
    <t>Source: DLUHC RS Revenue Outturn 2021-22 to 2024-25  |  Prepared by Dorcas Aina, Analyst Officer  |  data sourced from publicly available DLUHC returns  |  Jan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</si>
</sst>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6" x14ac:knownFonts="1">
    <font>
      <sz val="11"/>
      <color theme="1"/>
      <name val="Calibri"/>
      <family val="2"/>
      <scheme val="minor"/>
    </font>
    <font>
      <b/>
      <sz val="13"/>
      <color rgb="FFFFFFFF"/>
      <name val="Arial"/>
      <family val="2"/>
    </font>
    <font>
      <i/>
      <sz val="9"/>
      <color rgb="FF777777"/>
      <name val="Arial"/>
      <family val="2"/>
    </font>
    <font>
      <b/>
      <sz val="11"/>
      <color rgb="FFFFFFFF"/>
      <name val="Arial"/>
      <family val="2"/>
    </font>
    <font>
      <b/>
      <sz val="11"/>
      <color rgb="FF1A1A2E"/>
      <name val="Arial"/>
      <family val="2"/>
    </font>
    <font>
      <sz val="11"/>
      <color rgb="FF1A1A2E"/>
      <name val="Arial"/>
      <family val="2"/>
    </font>
    <font>
      <sz val="11"/>
      <color rgb="FFFFFFFF"/>
      <name val="Arial"/>
      <family val="2"/>
    </font>
    <font>
      <b/>
      <sz val="11"/>
      <color rgb="FFC0392B"/>
      <name val="Arial"/>
      <family val="2"/>
    </font>
    <font>
      <b/>
      <sz val="14"/>
      <color rgb="FFFFFFFF"/>
      <name val="Arial"/>
      <family val="2"/>
    </font>
    <font>
      <b/>
      <sz val="12"/>
      <color rgb="FFFFFFFF"/>
      <name val="Arial"/>
      <family val="2"/>
    </font>
    <font>
      <b/>
      <sz val="10"/>
      <color rgb="FF1A1A2E"/>
      <name val="Arial"/>
      <family val="2"/>
    </font>
    <font>
      <sz val="10"/>
      <color rgb="FF1A1A2E"/>
      <name val="Arial"/>
      <family val="2"/>
    </font>
    <font>
      <b/>
      <sz val="10"/>
      <color rgb="FFFFFFFF"/>
      <name val="Arial"/>
      <family val="2"/>
    </font>
    <font>
      <b/>
      <sz val="10"/>
      <color rgb="FFC0392B"/>
      <name val="Arial"/>
      <family val="2"/>
    </font>
    <font>
      <i/>
      <sz val="9"/>
      <color rgb="FF888888"/>
      <name val="Arial"/>
      <family val="2"/>
    </font>
    <font>
      <i/>
      <sz val="10"/>
      <color rgb="FF1A1A2E"/>
      <name val="Arial"/>
      <family val="2"/>
    </font>
  </fonts>
  <fills count="10">
    <fill>
      <patternFill patternType="none"/>
    </fill>
    <fill>
      <patternFill patternType="gray125"/>
    </fill>
    <fill>
      <patternFill patternType="solid">
        <fgColor rgb="FF0D3D78"/>
      </patternFill>
    </fill>
    <fill>
      <patternFill patternType="solid">
        <fgColor rgb="FFF0F4F8"/>
      </patternFill>
    </fill>
    <fill>
      <patternFill patternType="solid">
        <fgColor rgb="FF1558B0"/>
      </patternFill>
    </fill>
    <fill>
      <patternFill patternType="solid">
        <fgColor rgb="FFFFFFFF"/>
      </patternFill>
    </fill>
    <fill>
      <patternFill patternType="solid">
        <fgColor rgb="FFF7F8FA"/>
      </patternFill>
    </fill>
    <fill>
      <patternFill patternType="solid">
        <fgColor rgb="FFEBF2FB"/>
      </patternFill>
    </fill>
    <fill>
      <patternFill patternType="solid">
        <fgColor rgb="FF006B75"/>
      </patternFill>
    </fill>
    <fill>
      <patternFill patternType="solid">
        <fgColor rgb="FFE6F4F5"/>
      </patternFill>
    </fill>
  </fills>
  <borders count="10">
    <border>
      <left/>
      <right/>
      <top/>
      <bottom/>
      <diagonal/>
    </border>
    <border>
      <left style="thin">
        <color rgb="FFC5D0DC"/>
      </left>
      <right style="thin">
        <color rgb="FFC5D0DC"/>
      </right>
      <top style="thin">
        <color rgb="FFC5D0DC"/>
      </top>
      <bottom style="thin">
        <color rgb="FFC5D0D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9">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164" fontId="5" fillId="5" borderId="1" xfId="0" applyNumberFormat="1" applyFont="1" applyFill="1" applyBorder="1" applyAlignment="1">
      <alignment horizontal="right" vertical="center"/>
    </xf>
    <xf numFmtId="0" fontId="4" fillId="6" borderId="1" xfId="0" applyFont="1" applyFill="1" applyBorder="1" applyAlignment="1">
      <alignment horizontal="left" vertical="center"/>
    </xf>
    <xf numFmtId="0" fontId="5" fillId="6" borderId="1" xfId="0" applyFont="1" applyFill="1" applyBorder="1" applyAlignment="1">
      <alignment horizontal="left" vertical="center"/>
    </xf>
    <xf numFmtId="164" fontId="5" fillId="6" borderId="1" xfId="0" applyNumberFormat="1" applyFont="1" applyFill="1" applyBorder="1" applyAlignment="1">
      <alignment horizontal="right" vertical="center"/>
    </xf>
    <xf numFmtId="164" fontId="3" fillId="2" borderId="1" xfId="0" applyNumberFormat="1" applyFont="1" applyFill="1" applyBorder="1" applyAlignment="1">
      <alignment horizontal="right" vertical="center"/>
    </xf>
    <xf numFmtId="0" fontId="3" fillId="4" borderId="1" xfId="0" applyFont="1" applyFill="1" applyBorder="1" applyAlignment="1">
      <alignment horizontal="left" vertical="center"/>
    </xf>
    <xf numFmtId="0" fontId="5" fillId="4" borderId="1" xfId="0" applyFont="1" applyFill="1" applyBorder="1" applyAlignment="1">
      <alignment horizontal="left" vertical="center"/>
    </xf>
    <xf numFmtId="0" fontId="6" fillId="4" borderId="1" xfId="0" applyFont="1" applyFill="1" applyBorder="1" applyAlignment="1">
      <alignment horizontal="center" vertical="center"/>
    </xf>
    <xf numFmtId="165" fontId="7" fillId="7" borderId="1" xfId="0" applyNumberFormat="1" applyFont="1" applyFill="1" applyBorder="1" applyAlignment="1">
      <alignment horizontal="right" vertical="center"/>
    </xf>
    <xf numFmtId="0" fontId="3" fillId="8" borderId="1" xfId="0" applyFont="1" applyFill="1" applyBorder="1" applyAlignment="1">
      <alignment horizontal="left" vertical="center"/>
    </xf>
    <xf numFmtId="0" fontId="5" fillId="8" borderId="1" xfId="0" applyFont="1" applyFill="1" applyBorder="1" applyAlignment="1">
      <alignment horizontal="left" vertical="center"/>
    </xf>
    <xf numFmtId="0" fontId="6" fillId="8" borderId="1" xfId="0" applyFont="1" applyFill="1" applyBorder="1" applyAlignment="1">
      <alignment horizontal="center" vertical="center"/>
    </xf>
    <xf numFmtId="166" fontId="7" fillId="9" borderId="1" xfId="0" applyNumberFormat="1" applyFont="1" applyFill="1" applyBorder="1" applyAlignment="1">
      <alignment horizontal="right" vertical="center"/>
    </xf>
    <xf numFmtId="0" fontId="10" fillId="3" borderId="1" xfId="0" applyFont="1" applyFill="1" applyBorder="1" applyAlignment="1">
      <alignment horizontal="left" vertical="center"/>
    </xf>
    <xf numFmtId="0" fontId="11" fillId="5" borderId="1" xfId="0" applyFont="1" applyFill="1" applyBorder="1" applyAlignment="1">
      <alignment horizontal="left" vertical="center"/>
    </xf>
    <xf numFmtId="0" fontId="12" fillId="2" borderId="1" xfId="0" applyFont="1" applyFill="1" applyBorder="1" applyAlignment="1">
      <alignment horizontal="center" vertical="center"/>
    </xf>
    <xf numFmtId="0" fontId="10" fillId="5" borderId="1" xfId="0" applyFont="1" applyFill="1" applyBorder="1" applyAlignment="1">
      <alignment horizontal="left" vertical="center"/>
    </xf>
    <xf numFmtId="3" fontId="11" fillId="5" borderId="1" xfId="0" applyNumberFormat="1" applyFont="1" applyFill="1" applyBorder="1" applyAlignment="1">
      <alignment horizontal="right" vertical="center"/>
    </xf>
    <xf numFmtId="165" fontId="13" fillId="5" borderId="1" xfId="0" applyNumberFormat="1" applyFont="1" applyFill="1" applyBorder="1" applyAlignment="1">
      <alignment horizontal="right" vertical="center"/>
    </xf>
    <xf numFmtId="166" fontId="13" fillId="5" borderId="1" xfId="0" applyNumberFormat="1" applyFont="1" applyFill="1" applyBorder="1" applyAlignment="1">
      <alignment horizontal="right" vertical="center"/>
    </xf>
    <xf numFmtId="0" fontId="11" fillId="6" borderId="1" xfId="0" applyFont="1" applyFill="1" applyBorder="1" applyAlignment="1">
      <alignment horizontal="left" vertical="center"/>
    </xf>
    <xf numFmtId="3" fontId="11" fillId="6" borderId="1" xfId="0" applyNumberFormat="1" applyFont="1" applyFill="1" applyBorder="1" applyAlignment="1">
      <alignment horizontal="right" vertical="center"/>
    </xf>
    <xf numFmtId="165" fontId="13" fillId="6" borderId="1" xfId="0" applyNumberFormat="1" applyFont="1" applyFill="1" applyBorder="1" applyAlignment="1">
      <alignment horizontal="right" vertical="center"/>
    </xf>
    <xf numFmtId="166" fontId="13" fillId="6" borderId="1" xfId="0" applyNumberFormat="1" applyFont="1" applyFill="1" applyBorder="1" applyAlignment="1">
      <alignment horizontal="right" vertical="center"/>
    </xf>
    <xf numFmtId="0" fontId="10" fillId="6" borderId="1" xfId="0" applyFont="1" applyFill="1" applyBorder="1" applyAlignment="1">
      <alignment horizontal="left" vertical="center"/>
    </xf>
    <xf numFmtId="0" fontId="2" fillId="3" borderId="1" xfId="0" applyFont="1" applyFill="1" applyBorder="1" applyAlignment="1">
      <alignment horizontal="center" vertical="center"/>
    </xf>
    <xf numFmtId="0" fontId="0" fillId="0" borderId="0" xfId="0"/>
    <xf numFmtId="0" fontId="3"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1" fillId="5" borderId="1" xfId="0" applyFont="1" applyFill="1" applyBorder="1" applyAlignment="1">
      <alignment horizontal="left" vertical="center"/>
    </xf>
    <xf numFmtId="0" fontId="3" fillId="4" borderId="1" xfId="0" applyFont="1" applyFill="1" applyBorder="1" applyAlignment="1">
      <alignment horizontal="center" vertical="center"/>
    </xf>
    <xf numFmtId="0" fontId="8" fillId="2" borderId="1" xfId="0" applyFont="1" applyFill="1" applyBorder="1" applyAlignment="1">
      <alignment horizontal="center" vertical="center"/>
    </xf>
    <xf numFmtId="0" fontId="14"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3" fillId="4" borderId="1" xfId="0" applyFont="1" applyFill="1" applyBorder="1" applyAlignment="1">
      <alignment horizontal="left" vertical="center"/>
    </xf>
    <xf numFmtId="0" fontId="15" fillId="3" borderId="1" xfId="0" applyFont="1" applyFill="1" applyBorder="1" applyAlignment="1">
      <alignment horizontal="center" vertical="center" wrapText="1"/>
    </xf>
    <xf numFmtId="17" fontId="11" fillId="5" borderId="1" xfId="0" applyNumberFormat="1" applyFont="1" applyFill="1" applyBorder="1"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11" fillId="6" borderId="1" xfId="0" applyFont="1" applyFill="1" applyBorder="1" applyAlignment="1">
      <alignment horizontal="left" vertical="center" wrapText="1"/>
    </xf>
    <xf numFmtId="0" fontId="0" fillId="0" borderId="0" xfId="0" applyAlignment="1">
      <alignment horizontal="left" vertical="center"/>
    </xf>
    <xf numFmtId="0" fontId="11" fillId="5" borderId="1" xfId="0" applyFont="1" applyFill="1" applyBorder="1" applyAlignment="1">
      <alignment horizontal="left" vertical="center" wrapText="1"/>
    </xf>
    <xf numFmtId="0" fontId="0" fillId="0" borderId="0" xfId="0" applyAlignment="1">
      <alignment vertical="center"/>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5.1308152887139108E-2"/>
          <c:y val="3.0501427706152117E-2"/>
          <c:w val="0.80509793307086619"/>
          <c:h val="0.86756857315912439"/>
        </c:manualLayout>
      </c:layout>
      <c:barChart>
        <c:barDir val="col"/>
        <c:grouping val="stacked"/>
        <c:varyColors val="1"/>
        <c:ser>
          <c:idx val="0"/>
          <c:order val="0"/>
          <c:tx>
            <c:v>Education</c:v>
          </c:tx>
          <c:spPr>
            <a:solidFill>
              <a:srgbClr val="1558B0"/>
            </a:solidFill>
            <a:ln>
              <a:prstDash val="solid"/>
            </a:ln>
          </c:spPr>
          <c:invertIfNegative val="1"/>
          <c:cat>
            <c:strRef>
              <c:f>'MI Report'!$D$24:$G$24</c:f>
              <c:strCache>
                <c:ptCount val="4"/>
                <c:pt idx="0">
                  <c:v>2021-22</c:v>
                </c:pt>
                <c:pt idx="1">
                  <c:v>2022-23</c:v>
                </c:pt>
                <c:pt idx="2">
                  <c:v>2023-24</c:v>
                </c:pt>
                <c:pt idx="3">
                  <c:v>2024-25</c:v>
                </c:pt>
              </c:strCache>
            </c:strRef>
          </c:cat>
          <c:val>
            <c:numRef>
              <c:f>'MI Report'!$D$25:$G$25</c:f>
              <c:numCache>
                <c:formatCode>General</c:formatCode>
                <c:ptCount val="4"/>
                <c:pt idx="0">
                  <c:v>196267</c:v>
                </c:pt>
                <c:pt idx="1">
                  <c:v>210653</c:v>
                </c:pt>
                <c:pt idx="2">
                  <c:v>219713</c:v>
                </c:pt>
                <c:pt idx="3">
                  <c:v>238928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E31-804E-953F-33A2F21B7159}"/>
            </c:ext>
          </c:extLst>
        </c:ser>
        <c:ser>
          <c:idx val="1"/>
          <c:order val="1"/>
          <c:tx>
            <c:v>Highways &amp; Transport</c:v>
          </c:tx>
          <c:spPr>
            <a:solidFill>
              <a:srgbClr val="0D3D78"/>
            </a:solidFill>
            <a:ln>
              <a:prstDash val="solid"/>
            </a:ln>
          </c:spPr>
          <c:invertIfNegative val="1"/>
          <c:cat>
            <c:strRef>
              <c:f>'MI Report'!$D$24:$G$24</c:f>
              <c:strCache>
                <c:ptCount val="4"/>
                <c:pt idx="0">
                  <c:v>2021-22</c:v>
                </c:pt>
                <c:pt idx="1">
                  <c:v>2022-23</c:v>
                </c:pt>
                <c:pt idx="2">
                  <c:v>2023-24</c:v>
                </c:pt>
                <c:pt idx="3">
                  <c:v>2024-25</c:v>
                </c:pt>
              </c:strCache>
            </c:strRef>
          </c:cat>
          <c:val>
            <c:numRef>
              <c:f>'MI Report'!$D$26:$G$26</c:f>
              <c:numCache>
                <c:formatCode>General</c:formatCode>
                <c:ptCount val="4"/>
                <c:pt idx="0">
                  <c:v>-11428</c:v>
                </c:pt>
                <c:pt idx="1">
                  <c:v>-13237</c:v>
                </c:pt>
                <c:pt idx="2">
                  <c:v>-9932</c:v>
                </c:pt>
                <c:pt idx="3">
                  <c:v>-10845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E31-804E-953F-33A2F21B7159}"/>
            </c:ext>
          </c:extLst>
        </c:ser>
        <c:ser>
          <c:idx val="2"/>
          <c:order val="2"/>
          <c:tx>
            <c:v>Children Social Care</c:v>
          </c:tx>
          <c:spPr>
            <a:solidFill>
              <a:srgbClr val="006B75"/>
            </a:solidFill>
            <a:ln>
              <a:prstDash val="solid"/>
            </a:ln>
          </c:spPr>
          <c:invertIfNegative val="1"/>
          <c:cat>
            <c:strRef>
              <c:f>'MI Report'!$D$24:$G$24</c:f>
              <c:strCache>
                <c:ptCount val="4"/>
                <c:pt idx="0">
                  <c:v>2021-22</c:v>
                </c:pt>
                <c:pt idx="1">
                  <c:v>2022-23</c:v>
                </c:pt>
                <c:pt idx="2">
                  <c:v>2023-24</c:v>
                </c:pt>
                <c:pt idx="3">
                  <c:v>2024-25</c:v>
                </c:pt>
              </c:strCache>
            </c:strRef>
          </c:cat>
          <c:val>
            <c:numRef>
              <c:f>'MI Report'!$D$27:$G$27</c:f>
              <c:numCache>
                <c:formatCode>General</c:formatCode>
                <c:ptCount val="4"/>
                <c:pt idx="0">
                  <c:v>55933</c:v>
                </c:pt>
                <c:pt idx="1">
                  <c:v>62421</c:v>
                </c:pt>
                <c:pt idx="2">
                  <c:v>66204</c:v>
                </c:pt>
                <c:pt idx="3">
                  <c:v>69994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2E31-804E-953F-33A2F21B7159}"/>
            </c:ext>
          </c:extLst>
        </c:ser>
        <c:ser>
          <c:idx val="3"/>
          <c:order val="3"/>
          <c:tx>
            <c:v>Adult Social Care</c:v>
          </c:tx>
          <c:spPr>
            <a:solidFill>
              <a:srgbClr val="E8A838"/>
            </a:solidFill>
            <a:ln>
              <a:prstDash val="solid"/>
            </a:ln>
          </c:spPr>
          <c:invertIfNegative val="1"/>
          <c:cat>
            <c:strRef>
              <c:f>'MI Report'!$D$24:$G$24</c:f>
              <c:strCache>
                <c:ptCount val="4"/>
                <c:pt idx="0">
                  <c:v>2021-22</c:v>
                </c:pt>
                <c:pt idx="1">
                  <c:v>2022-23</c:v>
                </c:pt>
                <c:pt idx="2">
                  <c:v>2023-24</c:v>
                </c:pt>
                <c:pt idx="3">
                  <c:v>2024-25</c:v>
                </c:pt>
              </c:strCache>
            </c:strRef>
          </c:cat>
          <c:val>
            <c:numRef>
              <c:f>'MI Report'!$D$28:$G$28</c:f>
              <c:numCache>
                <c:formatCode>General</c:formatCode>
                <c:ptCount val="4"/>
                <c:pt idx="0">
                  <c:v>95316</c:v>
                </c:pt>
                <c:pt idx="1">
                  <c:v>103304</c:v>
                </c:pt>
                <c:pt idx="2">
                  <c:v>117603</c:v>
                </c:pt>
                <c:pt idx="3">
                  <c:v>131770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2E31-804E-953F-33A2F21B7159}"/>
            </c:ext>
          </c:extLst>
        </c:ser>
        <c:ser>
          <c:idx val="4"/>
          <c:order val="4"/>
          <c:tx>
            <c:v>Housing</c:v>
          </c:tx>
          <c:spPr>
            <a:solidFill>
              <a:srgbClr val="C0392B"/>
            </a:solidFill>
            <a:ln>
              <a:prstDash val="solid"/>
            </a:ln>
          </c:spPr>
          <c:invertIfNegative val="1"/>
          <c:cat>
            <c:strRef>
              <c:f>'MI Report'!$D$24:$G$24</c:f>
              <c:strCache>
                <c:ptCount val="4"/>
                <c:pt idx="0">
                  <c:v>2021-22</c:v>
                </c:pt>
                <c:pt idx="1">
                  <c:v>2022-23</c:v>
                </c:pt>
                <c:pt idx="2">
                  <c:v>2023-24</c:v>
                </c:pt>
                <c:pt idx="3">
                  <c:v>2024-25</c:v>
                </c:pt>
              </c:strCache>
            </c:strRef>
          </c:cat>
          <c:val>
            <c:numRef>
              <c:f>'MI Report'!$D$29:$G$29</c:f>
              <c:numCache>
                <c:formatCode>General</c:formatCode>
                <c:ptCount val="4"/>
                <c:pt idx="0">
                  <c:v>14146</c:v>
                </c:pt>
                <c:pt idx="1">
                  <c:v>15828</c:v>
                </c:pt>
                <c:pt idx="2">
                  <c:v>30975</c:v>
                </c:pt>
                <c:pt idx="3">
                  <c:v>40656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4-2E31-804E-953F-33A2F21B7159}"/>
            </c:ext>
          </c:extLst>
        </c:ser>
        <c:ser>
          <c:idx val="5"/>
          <c:order val="5"/>
          <c:tx>
            <c:v>Cultural &amp; Related</c:v>
          </c:tx>
          <c:spPr>
            <a:solidFill>
              <a:srgbClr val="15803D"/>
            </a:solidFill>
            <a:ln>
              <a:prstDash val="solid"/>
            </a:ln>
          </c:spPr>
          <c:invertIfNegative val="1"/>
          <c:cat>
            <c:strRef>
              <c:f>'MI Report'!$D$24:$G$24</c:f>
              <c:strCache>
                <c:ptCount val="4"/>
                <c:pt idx="0">
                  <c:v>2021-22</c:v>
                </c:pt>
                <c:pt idx="1">
                  <c:v>2022-23</c:v>
                </c:pt>
                <c:pt idx="2">
                  <c:v>2023-24</c:v>
                </c:pt>
                <c:pt idx="3">
                  <c:v>2024-25</c:v>
                </c:pt>
              </c:strCache>
            </c:strRef>
          </c:cat>
          <c:val>
            <c:numRef>
              <c:f>'MI Report'!$D$30:$G$30</c:f>
              <c:numCache>
                <c:formatCode>General</c:formatCode>
                <c:ptCount val="4"/>
                <c:pt idx="0">
                  <c:v>8337</c:v>
                </c:pt>
                <c:pt idx="1">
                  <c:v>8339</c:v>
                </c:pt>
                <c:pt idx="2">
                  <c:v>9296</c:v>
                </c:pt>
                <c:pt idx="3">
                  <c:v>10975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5-2E31-804E-953F-33A2F21B7159}"/>
            </c:ext>
          </c:extLst>
        </c:ser>
        <c:ser>
          <c:idx val="6"/>
          <c:order val="6"/>
          <c:tx>
            <c:v>Environmental</c:v>
          </c:tx>
          <c:spPr>
            <a:solidFill>
              <a:srgbClr val="8B5CF6"/>
            </a:solidFill>
            <a:ln>
              <a:prstDash val="solid"/>
            </a:ln>
          </c:spPr>
          <c:invertIfNegative val="1"/>
          <c:cat>
            <c:strRef>
              <c:f>'MI Report'!$D$24:$G$24</c:f>
              <c:strCache>
                <c:ptCount val="4"/>
                <c:pt idx="0">
                  <c:v>2021-22</c:v>
                </c:pt>
                <c:pt idx="1">
                  <c:v>2022-23</c:v>
                </c:pt>
                <c:pt idx="2">
                  <c:v>2023-24</c:v>
                </c:pt>
                <c:pt idx="3">
                  <c:v>2024-25</c:v>
                </c:pt>
              </c:strCache>
            </c:strRef>
          </c:cat>
          <c:val>
            <c:numRef>
              <c:f>'MI Report'!$D$31:$G$31</c:f>
              <c:numCache>
                <c:formatCode>General</c:formatCode>
                <c:ptCount val="4"/>
                <c:pt idx="0">
                  <c:v>14034</c:v>
                </c:pt>
                <c:pt idx="1">
                  <c:v>14305</c:v>
                </c:pt>
                <c:pt idx="2">
                  <c:v>17484</c:v>
                </c:pt>
                <c:pt idx="3">
                  <c:v>20818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6-2E31-804E-953F-33A2F21B7159}"/>
            </c:ext>
          </c:extLst>
        </c:ser>
        <c:ser>
          <c:idx val="7"/>
          <c:order val="7"/>
          <c:tx>
            <c:v>Planning &amp; Development</c:v>
          </c:tx>
          <c:spPr>
            <a:solidFill>
              <a:srgbClr val="F97316"/>
            </a:solidFill>
            <a:ln>
              <a:prstDash val="solid"/>
            </a:ln>
          </c:spPr>
          <c:invertIfNegative val="1"/>
          <c:cat>
            <c:strRef>
              <c:f>'MI Report'!$D$24:$G$24</c:f>
              <c:strCache>
                <c:ptCount val="4"/>
                <c:pt idx="0">
                  <c:v>2021-22</c:v>
                </c:pt>
                <c:pt idx="1">
                  <c:v>2022-23</c:v>
                </c:pt>
                <c:pt idx="2">
                  <c:v>2023-24</c:v>
                </c:pt>
                <c:pt idx="3">
                  <c:v>2024-25</c:v>
                </c:pt>
              </c:strCache>
            </c:strRef>
          </c:cat>
          <c:val>
            <c:numRef>
              <c:f>'MI Report'!$D$32:$G$32</c:f>
              <c:numCache>
                <c:formatCode>General</c:formatCode>
                <c:ptCount val="4"/>
                <c:pt idx="0">
                  <c:v>4014</c:v>
                </c:pt>
                <c:pt idx="1">
                  <c:v>3280</c:v>
                </c:pt>
                <c:pt idx="2">
                  <c:v>6187</c:v>
                </c:pt>
                <c:pt idx="3">
                  <c:v>6950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7-2E31-804E-953F-33A2F21B7159}"/>
            </c:ext>
          </c:extLst>
        </c:ser>
        <c:ser>
          <c:idx val="8"/>
          <c:order val="8"/>
          <c:tx>
            <c:v>Central Services</c:v>
          </c:tx>
          <c:spPr>
            <a:solidFill>
              <a:srgbClr val="64748B"/>
            </a:solidFill>
            <a:ln>
              <a:prstDash val="solid"/>
            </a:ln>
          </c:spPr>
          <c:invertIfNegative val="1"/>
          <c:cat>
            <c:strRef>
              <c:f>'MI Report'!$D$24:$G$24</c:f>
              <c:strCache>
                <c:ptCount val="4"/>
                <c:pt idx="0">
                  <c:v>2021-22</c:v>
                </c:pt>
                <c:pt idx="1">
                  <c:v>2022-23</c:v>
                </c:pt>
                <c:pt idx="2">
                  <c:v>2023-24</c:v>
                </c:pt>
                <c:pt idx="3">
                  <c:v>2024-25</c:v>
                </c:pt>
              </c:strCache>
            </c:strRef>
          </c:cat>
          <c:val>
            <c:numRef>
              <c:f>'MI Report'!$D$33:$G$33</c:f>
              <c:numCache>
                <c:formatCode>General</c:formatCode>
                <c:ptCount val="4"/>
                <c:pt idx="0">
                  <c:v>13608</c:v>
                </c:pt>
                <c:pt idx="1">
                  <c:v>15252</c:v>
                </c:pt>
                <c:pt idx="2">
                  <c:v>18293</c:v>
                </c:pt>
                <c:pt idx="3">
                  <c:v>21797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8-2E31-804E-953F-33A2F21B7159}"/>
            </c:ext>
          </c:extLst>
        </c:ser>
        <c:dLbls>
          <c:dLblPos val="ctr"/>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nchor="b" anchorCtr="1"/>
              <a:lstStyle/>
              <a:p>
                <a:pPr>
                  <a:defRPr/>
                </a:pPr>
                <a:r>
                  <a:rPr lang="en-GB" sz="1400"/>
                  <a:t>Financial Year</a:t>
                </a:r>
              </a:p>
            </c:rich>
          </c:tx>
          <c:layout>
            <c:manualLayout>
              <c:xMode val="edge"/>
              <c:yMode val="edge"/>
              <c:x val="0.38941961942257219"/>
              <c:y val="0.9115246171151683"/>
            </c:manualLayout>
          </c:layout>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legend>
      <c:legendPos val="r"/>
      <c:layout>
        <c:manualLayout>
          <c:xMode val="edge"/>
          <c:yMode val="edge"/>
          <c:x val="0.85304584973753284"/>
          <c:y val="0.2764473911914857"/>
          <c:w val="0.14695415026246716"/>
          <c:h val="0.48831379250670587"/>
        </c:manualLayout>
      </c:layout>
      <c:overlay val="0"/>
      <c:txPr>
        <a:bodyPr/>
        <a:lstStyle/>
        <a:p>
          <a:pPr>
            <a:defRPr b="1">
              <a:ln w="0" cap="flat">
                <a:noFill/>
              </a:ln>
              <a:solidFill>
                <a:schemeClr val="tx1"/>
              </a:solidFill>
            </a:defRPr>
          </a:pPr>
          <a:endParaRPr lang="en-US"/>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12700</xdr:colOff>
      <xdr:row>19</xdr:row>
      <xdr:rowOff>63500</xdr:rowOff>
    </xdr:from>
    <xdr:ext cx="12192000" cy="46228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workbookViewId="0">
      <pane ySplit="4" topLeftCell="A5" activePane="bottomLeft" state="frozen"/>
      <selection pane="bottomLeft" activeCell="B28" sqref="B28"/>
    </sheetView>
  </sheetViews>
  <sheetFormatPr baseColWidth="10" defaultColWidth="8.83203125" defaultRowHeight="15" x14ac:dyDescent="0.2"/>
  <cols>
    <col min="1" max="7" width="31.5" customWidth="1"/>
  </cols>
  <sheetData>
    <row r="1" spans="1:7" ht="24" customHeight="1" x14ac:dyDescent="0.2">
      <c r="A1" s="32" t="s">
        <v>0</v>
      </c>
      <c r="B1" s="30"/>
      <c r="C1" s="30"/>
      <c r="D1" s="30"/>
      <c r="E1" s="30"/>
      <c r="F1" s="30"/>
      <c r="G1" s="30"/>
    </row>
    <row r="2" spans="1:7" ht="16" customHeight="1" x14ac:dyDescent="0.2">
      <c r="A2" s="29" t="s">
        <v>106</v>
      </c>
      <c r="B2" s="30"/>
      <c r="C2" s="30"/>
      <c r="D2" s="30"/>
      <c r="E2" s="30"/>
      <c r="F2" s="30"/>
      <c r="G2" s="30"/>
    </row>
    <row r="4" spans="1:7" ht="22" customHeight="1" x14ac:dyDescent="0.2">
      <c r="A4" s="1" t="s">
        <v>1</v>
      </c>
      <c r="B4" s="1" t="s">
        <v>2</v>
      </c>
      <c r="C4" s="1" t="s">
        <v>3</v>
      </c>
      <c r="D4" s="1" t="s">
        <v>4</v>
      </c>
      <c r="E4" s="1" t="s">
        <v>5</v>
      </c>
      <c r="F4" s="1" t="s">
        <v>6</v>
      </c>
      <c r="G4" s="1" t="s">
        <v>7</v>
      </c>
    </row>
    <row r="5" spans="1:7" x14ac:dyDescent="0.2">
      <c r="A5" s="2" t="s">
        <v>8</v>
      </c>
      <c r="B5" s="3" t="s">
        <v>9</v>
      </c>
      <c r="C5" s="3" t="s">
        <v>10</v>
      </c>
      <c r="D5" s="4">
        <v>196267</v>
      </c>
      <c r="E5" s="4">
        <v>210653</v>
      </c>
      <c r="F5" s="4">
        <v>219713</v>
      </c>
      <c r="G5" s="4">
        <v>238928</v>
      </c>
    </row>
    <row r="6" spans="1:7" x14ac:dyDescent="0.2">
      <c r="A6" s="5" t="s">
        <v>11</v>
      </c>
      <c r="B6" s="6" t="s">
        <v>12</v>
      </c>
      <c r="C6" s="6" t="s">
        <v>13</v>
      </c>
      <c r="D6" s="7">
        <v>-11428</v>
      </c>
      <c r="E6" s="7">
        <v>-13237</v>
      </c>
      <c r="F6" s="7">
        <v>-9932</v>
      </c>
      <c r="G6" s="7">
        <v>-10845</v>
      </c>
    </row>
    <row r="7" spans="1:7" x14ac:dyDescent="0.2">
      <c r="A7" s="2" t="s">
        <v>14</v>
      </c>
      <c r="B7" s="3" t="s">
        <v>9</v>
      </c>
      <c r="C7" s="3" t="s">
        <v>10</v>
      </c>
      <c r="D7" s="4">
        <v>55933</v>
      </c>
      <c r="E7" s="4">
        <v>62421</v>
      </c>
      <c r="F7" s="4">
        <v>66204</v>
      </c>
      <c r="G7" s="4">
        <v>69994</v>
      </c>
    </row>
    <row r="8" spans="1:7" x14ac:dyDescent="0.2">
      <c r="A8" s="5" t="s">
        <v>15</v>
      </c>
      <c r="B8" s="6" t="s">
        <v>16</v>
      </c>
      <c r="C8" s="6" t="s">
        <v>10</v>
      </c>
      <c r="D8" s="7">
        <v>95316</v>
      </c>
      <c r="E8" s="7">
        <v>103304</v>
      </c>
      <c r="F8" s="7">
        <v>117603</v>
      </c>
      <c r="G8" s="7">
        <v>131770</v>
      </c>
    </row>
    <row r="9" spans="1:7" x14ac:dyDescent="0.2">
      <c r="A9" s="2" t="s">
        <v>17</v>
      </c>
      <c r="B9" s="3" t="s">
        <v>18</v>
      </c>
      <c r="C9" s="3" t="s">
        <v>13</v>
      </c>
      <c r="D9" s="4">
        <v>14146</v>
      </c>
      <c r="E9" s="4">
        <v>15828</v>
      </c>
      <c r="F9" s="4">
        <v>30975</v>
      </c>
      <c r="G9" s="4">
        <v>40656</v>
      </c>
    </row>
    <row r="10" spans="1:7" x14ac:dyDescent="0.2">
      <c r="A10" s="5" t="s">
        <v>19</v>
      </c>
      <c r="B10" s="6" t="s">
        <v>12</v>
      </c>
      <c r="C10" s="6" t="s">
        <v>13</v>
      </c>
      <c r="D10" s="7">
        <v>8337</v>
      </c>
      <c r="E10" s="7">
        <v>8339</v>
      </c>
      <c r="F10" s="7">
        <v>9296</v>
      </c>
      <c r="G10" s="7">
        <v>10975</v>
      </c>
    </row>
    <row r="11" spans="1:7" x14ac:dyDescent="0.2">
      <c r="A11" s="2" t="s">
        <v>20</v>
      </c>
      <c r="B11" s="3" t="s">
        <v>12</v>
      </c>
      <c r="C11" s="3" t="s">
        <v>13</v>
      </c>
      <c r="D11" s="4">
        <v>14034</v>
      </c>
      <c r="E11" s="4">
        <v>14305</v>
      </c>
      <c r="F11" s="4">
        <v>17484</v>
      </c>
      <c r="G11" s="4">
        <v>20818</v>
      </c>
    </row>
    <row r="12" spans="1:7" x14ac:dyDescent="0.2">
      <c r="A12" s="5" t="s">
        <v>21</v>
      </c>
      <c r="B12" s="6" t="s">
        <v>12</v>
      </c>
      <c r="C12" s="6" t="s">
        <v>13</v>
      </c>
      <c r="D12" s="7">
        <v>4014</v>
      </c>
      <c r="E12" s="7">
        <v>3280</v>
      </c>
      <c r="F12" s="7">
        <v>6187</v>
      </c>
      <c r="G12" s="7">
        <v>6950</v>
      </c>
    </row>
    <row r="13" spans="1:7" x14ac:dyDescent="0.2">
      <c r="A13" s="2" t="s">
        <v>22</v>
      </c>
      <c r="B13" s="3" t="s">
        <v>23</v>
      </c>
      <c r="C13" s="3" t="s">
        <v>24</v>
      </c>
      <c r="D13" s="4">
        <v>13608</v>
      </c>
      <c r="E13" s="4">
        <v>15252</v>
      </c>
      <c r="F13" s="4">
        <v>18293</v>
      </c>
      <c r="G13" s="4">
        <v>21797</v>
      </c>
    </row>
    <row r="14" spans="1:7" x14ac:dyDescent="0.2">
      <c r="A14" s="31" t="s">
        <v>25</v>
      </c>
      <c r="B14" s="30"/>
      <c r="C14" s="30"/>
      <c r="D14" s="8">
        <v>390227</v>
      </c>
      <c r="E14" s="8">
        <v>420145</v>
      </c>
      <c r="F14" s="8">
        <v>475823</v>
      </c>
      <c r="G14" s="8">
        <v>531043</v>
      </c>
    </row>
    <row r="16" spans="1:7" x14ac:dyDescent="0.2">
      <c r="A16" s="9" t="s">
        <v>26</v>
      </c>
      <c r="B16" s="10"/>
      <c r="C16" s="10"/>
      <c r="D16" s="11" t="s">
        <v>27</v>
      </c>
      <c r="E16" s="12">
        <v>29918</v>
      </c>
      <c r="F16" s="12">
        <v>55678</v>
      </c>
      <c r="G16" s="12">
        <v>55220</v>
      </c>
    </row>
    <row r="17" spans="1:7" x14ac:dyDescent="0.2">
      <c r="A17" s="13" t="s">
        <v>28</v>
      </c>
      <c r="B17" s="14"/>
      <c r="C17" s="14"/>
      <c r="D17" s="15" t="s">
        <v>27</v>
      </c>
      <c r="E17" s="16">
        <v>7.6668195691225877E-2</v>
      </c>
      <c r="F17" s="16">
        <v>0.13252091539825539</v>
      </c>
      <c r="G17" s="16">
        <v>0.1160515569865265</v>
      </c>
    </row>
  </sheetData>
  <mergeCells count="3">
    <mergeCell ref="A2:G2"/>
    <mergeCell ref="A14:C14"/>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56"/>
  <sheetViews>
    <sheetView showGridLines="0" topLeftCell="A37" workbookViewId="0">
      <selection activeCell="D60" sqref="D60"/>
    </sheetView>
  </sheetViews>
  <sheetFormatPr baseColWidth="10" defaultColWidth="8.83203125" defaultRowHeight="15" x14ac:dyDescent="0.2"/>
  <cols>
    <col min="1" max="1" width="2" customWidth="1"/>
    <col min="2" max="2" width="27.83203125" customWidth="1"/>
    <col min="3" max="8" width="22.83203125" customWidth="1"/>
  </cols>
  <sheetData>
    <row r="1" spans="2:8" ht="28" customHeight="1" x14ac:dyDescent="0.2">
      <c r="B1" s="35" t="s">
        <v>29</v>
      </c>
      <c r="C1" s="30"/>
      <c r="D1" s="30"/>
      <c r="E1" s="30"/>
      <c r="F1" s="30"/>
      <c r="G1" s="30"/>
      <c r="H1" s="30"/>
    </row>
    <row r="2" spans="2:8" ht="22" customHeight="1" x14ac:dyDescent="0.2">
      <c r="B2" s="37" t="s">
        <v>108</v>
      </c>
      <c r="C2" s="30"/>
      <c r="D2" s="30"/>
      <c r="E2" s="30"/>
      <c r="F2" s="30"/>
      <c r="G2" s="30"/>
      <c r="H2" s="30"/>
    </row>
    <row r="4" spans="2:8" ht="17" customHeight="1" x14ac:dyDescent="0.2">
      <c r="B4" s="17" t="s">
        <v>30</v>
      </c>
      <c r="C4" s="33" t="s">
        <v>31</v>
      </c>
      <c r="D4" s="30"/>
      <c r="E4" s="30"/>
      <c r="F4" s="30"/>
      <c r="G4" s="30"/>
      <c r="H4" s="30"/>
    </row>
    <row r="5" spans="2:8" ht="17" customHeight="1" x14ac:dyDescent="0.2">
      <c r="B5" s="17" t="s">
        <v>32</v>
      </c>
      <c r="C5" s="33" t="s">
        <v>33</v>
      </c>
      <c r="D5" s="30"/>
      <c r="E5" s="30"/>
      <c r="F5" s="30"/>
      <c r="G5" s="30"/>
      <c r="H5" s="30"/>
    </row>
    <row r="6" spans="2:8" ht="17" customHeight="1" x14ac:dyDescent="0.2">
      <c r="B6" s="17" t="s">
        <v>34</v>
      </c>
      <c r="C6" s="40">
        <v>46023</v>
      </c>
      <c r="D6" s="30"/>
      <c r="E6" s="30"/>
      <c r="F6" s="30"/>
      <c r="G6" s="30"/>
      <c r="H6" s="30"/>
    </row>
    <row r="7" spans="2:8" ht="17" customHeight="1" x14ac:dyDescent="0.2">
      <c r="B7" s="17" t="s">
        <v>36</v>
      </c>
      <c r="C7" s="33" t="s">
        <v>107</v>
      </c>
      <c r="D7" s="30"/>
      <c r="E7" s="30"/>
      <c r="F7" s="30"/>
      <c r="G7" s="30"/>
      <c r="H7" s="30"/>
    </row>
    <row r="8" spans="2:8" ht="10" customHeight="1" x14ac:dyDescent="0.2"/>
    <row r="9" spans="2:8" ht="20" customHeight="1" x14ac:dyDescent="0.2">
      <c r="B9" s="34" t="s">
        <v>37</v>
      </c>
      <c r="C9" s="30"/>
      <c r="D9" s="30"/>
      <c r="E9" s="30"/>
      <c r="F9" s="30"/>
      <c r="G9" s="30"/>
      <c r="H9" s="30"/>
    </row>
    <row r="10" spans="2:8" ht="18" customHeight="1" x14ac:dyDescent="0.2">
      <c r="B10" s="19" t="s">
        <v>38</v>
      </c>
      <c r="C10" s="19" t="s">
        <v>4</v>
      </c>
      <c r="D10" s="19" t="s">
        <v>5</v>
      </c>
      <c r="E10" s="19" t="s">
        <v>6</v>
      </c>
      <c r="F10" s="19" t="s">
        <v>7</v>
      </c>
      <c r="G10" s="19" t="s">
        <v>39</v>
      </c>
      <c r="H10" s="19" t="s">
        <v>40</v>
      </c>
    </row>
    <row r="11" spans="2:8" ht="17" customHeight="1" x14ac:dyDescent="0.2">
      <c r="B11" s="20" t="s">
        <v>41</v>
      </c>
      <c r="C11" s="21">
        <v>390227</v>
      </c>
      <c r="D11" s="21">
        <v>420145</v>
      </c>
      <c r="E11" s="21">
        <v>475823</v>
      </c>
      <c r="F11" s="21">
        <v>531043</v>
      </c>
      <c r="G11" s="22">
        <v>140816</v>
      </c>
      <c r="H11" s="23">
        <v>0.36085662960276971</v>
      </c>
    </row>
    <row r="12" spans="2:8" ht="17" customHeight="1" x14ac:dyDescent="0.2">
      <c r="B12" s="24" t="s">
        <v>42</v>
      </c>
      <c r="C12" s="25">
        <v>196267</v>
      </c>
      <c r="D12" s="25">
        <v>210653</v>
      </c>
      <c r="E12" s="25">
        <v>219713</v>
      </c>
      <c r="F12" s="25">
        <v>238928</v>
      </c>
      <c r="G12" s="26">
        <v>42661</v>
      </c>
      <c r="H12" s="27">
        <v>0.21736206290410509</v>
      </c>
    </row>
    <row r="13" spans="2:8" ht="17" customHeight="1" x14ac:dyDescent="0.2">
      <c r="B13" s="18" t="s">
        <v>43</v>
      </c>
      <c r="C13" s="21">
        <v>95316</v>
      </c>
      <c r="D13" s="21">
        <v>103304</v>
      </c>
      <c r="E13" s="21">
        <v>117603</v>
      </c>
      <c r="F13" s="21">
        <v>131770</v>
      </c>
      <c r="G13" s="22">
        <v>36454</v>
      </c>
      <c r="H13" s="23">
        <v>0.38245415250325232</v>
      </c>
    </row>
    <row r="14" spans="2:8" ht="17" customHeight="1" x14ac:dyDescent="0.2">
      <c r="B14" s="24" t="s">
        <v>44</v>
      </c>
      <c r="C14" s="25">
        <v>55933</v>
      </c>
      <c r="D14" s="25">
        <v>62421</v>
      </c>
      <c r="E14" s="25">
        <v>66204</v>
      </c>
      <c r="F14" s="25">
        <v>69994</v>
      </c>
      <c r="G14" s="26">
        <v>14061</v>
      </c>
      <c r="H14" s="27">
        <v>0.25139005595980912</v>
      </c>
    </row>
    <row r="15" spans="2:8" ht="17" customHeight="1" x14ac:dyDescent="0.2">
      <c r="B15" s="18" t="s">
        <v>45</v>
      </c>
      <c r="C15" s="21">
        <v>14146</v>
      </c>
      <c r="D15" s="21">
        <v>15828</v>
      </c>
      <c r="E15" s="21">
        <v>30975</v>
      </c>
      <c r="F15" s="21">
        <v>40656</v>
      </c>
      <c r="G15" s="22">
        <v>26510</v>
      </c>
      <c r="H15" s="23">
        <v>1.87402799377916</v>
      </c>
    </row>
    <row r="16" spans="2:8" ht="17" customHeight="1" x14ac:dyDescent="0.2">
      <c r="B16" s="28" t="s">
        <v>46</v>
      </c>
      <c r="C16" s="25">
        <v>347516</v>
      </c>
      <c r="D16" s="25">
        <v>376378</v>
      </c>
      <c r="E16" s="25">
        <v>403520</v>
      </c>
      <c r="F16" s="25">
        <v>440692</v>
      </c>
      <c r="G16" s="26">
        <v>93176</v>
      </c>
      <c r="H16" s="27">
        <v>0.26812002900585868</v>
      </c>
    </row>
    <row r="17" spans="2:8" ht="17" customHeight="1" x14ac:dyDescent="0.2">
      <c r="B17" s="20" t="s">
        <v>47</v>
      </c>
      <c r="C17" s="21">
        <v>29103</v>
      </c>
      <c r="D17" s="21">
        <v>28515</v>
      </c>
      <c r="E17" s="21">
        <v>54010</v>
      </c>
      <c r="F17" s="21">
        <v>68554</v>
      </c>
      <c r="G17" s="22">
        <v>39451</v>
      </c>
      <c r="H17" s="23">
        <v>1.355564718413909</v>
      </c>
    </row>
    <row r="18" spans="2:8" ht="10" customHeight="1" x14ac:dyDescent="0.2"/>
    <row r="19" spans="2:8" ht="20" customHeight="1" x14ac:dyDescent="0.2">
      <c r="B19" s="34" t="s">
        <v>48</v>
      </c>
      <c r="C19" s="30"/>
      <c r="D19" s="30"/>
      <c r="E19" s="30"/>
      <c r="F19" s="30"/>
      <c r="G19" s="30"/>
      <c r="H19" s="30"/>
    </row>
    <row r="24" spans="2:8" x14ac:dyDescent="0.2">
      <c r="C24" s="41" t="s">
        <v>49</v>
      </c>
      <c r="D24" s="42" t="s">
        <v>4</v>
      </c>
      <c r="E24" s="42" t="s">
        <v>5</v>
      </c>
      <c r="F24" s="42" t="s">
        <v>6</v>
      </c>
      <c r="G24" s="43" t="s">
        <v>7</v>
      </c>
    </row>
    <row r="25" spans="2:8" x14ac:dyDescent="0.2">
      <c r="C25" s="44" t="s">
        <v>8</v>
      </c>
      <c r="D25" s="45">
        <v>196267</v>
      </c>
      <c r="E25" s="45">
        <v>210653</v>
      </c>
      <c r="F25" s="45">
        <v>219713</v>
      </c>
      <c r="G25" s="46">
        <v>238928</v>
      </c>
    </row>
    <row r="26" spans="2:8" x14ac:dyDescent="0.2">
      <c r="C26" s="44" t="s">
        <v>11</v>
      </c>
      <c r="D26" s="45">
        <v>-11428</v>
      </c>
      <c r="E26" s="45">
        <v>-13237</v>
      </c>
      <c r="F26" s="45">
        <v>-9932</v>
      </c>
      <c r="G26" s="46">
        <v>-10845</v>
      </c>
    </row>
    <row r="27" spans="2:8" x14ac:dyDescent="0.2">
      <c r="C27" s="44" t="s">
        <v>14</v>
      </c>
      <c r="D27" s="45">
        <v>55933</v>
      </c>
      <c r="E27" s="45">
        <v>62421</v>
      </c>
      <c r="F27" s="45">
        <v>66204</v>
      </c>
      <c r="G27" s="46">
        <v>69994</v>
      </c>
    </row>
    <row r="28" spans="2:8" x14ac:dyDescent="0.2">
      <c r="C28" s="44" t="s">
        <v>15</v>
      </c>
      <c r="D28" s="45">
        <v>95316</v>
      </c>
      <c r="E28" s="45">
        <v>103304</v>
      </c>
      <c r="F28" s="45">
        <v>117603</v>
      </c>
      <c r="G28" s="46">
        <v>131770</v>
      </c>
    </row>
    <row r="29" spans="2:8" x14ac:dyDescent="0.2">
      <c r="C29" s="44" t="s">
        <v>17</v>
      </c>
      <c r="D29" s="45">
        <v>14146</v>
      </c>
      <c r="E29" s="45">
        <v>15828</v>
      </c>
      <c r="F29" s="45">
        <v>30975</v>
      </c>
      <c r="G29" s="46">
        <v>40656</v>
      </c>
    </row>
    <row r="30" spans="2:8" x14ac:dyDescent="0.2">
      <c r="C30" s="44" t="s">
        <v>19</v>
      </c>
      <c r="D30" s="45">
        <v>8337</v>
      </c>
      <c r="E30" s="45">
        <v>8339</v>
      </c>
      <c r="F30" s="45">
        <v>9296</v>
      </c>
      <c r="G30" s="46">
        <v>10975</v>
      </c>
    </row>
    <row r="31" spans="2:8" x14ac:dyDescent="0.2">
      <c r="C31" s="44" t="s">
        <v>20</v>
      </c>
      <c r="D31" s="45">
        <v>14034</v>
      </c>
      <c r="E31" s="45">
        <v>14305</v>
      </c>
      <c r="F31" s="45">
        <v>17484</v>
      </c>
      <c r="G31" s="46">
        <v>20818</v>
      </c>
    </row>
    <row r="32" spans="2:8" x14ac:dyDescent="0.2">
      <c r="C32" s="44" t="s">
        <v>21</v>
      </c>
      <c r="D32" s="45">
        <v>4014</v>
      </c>
      <c r="E32" s="45">
        <v>3280</v>
      </c>
      <c r="F32" s="45">
        <v>6187</v>
      </c>
      <c r="G32" s="46">
        <v>6950</v>
      </c>
    </row>
    <row r="33" spans="3:7" x14ac:dyDescent="0.2">
      <c r="C33" s="44" t="s">
        <v>22</v>
      </c>
      <c r="D33" s="45">
        <v>13608</v>
      </c>
      <c r="E33" s="45">
        <v>15252</v>
      </c>
      <c r="F33" s="45">
        <v>18293</v>
      </c>
      <c r="G33" s="46">
        <v>21797</v>
      </c>
    </row>
    <row r="34" spans="3:7" x14ac:dyDescent="0.2">
      <c r="C34" s="47"/>
      <c r="D34" s="48"/>
      <c r="E34" s="48"/>
      <c r="F34" s="48"/>
      <c r="G34" s="49"/>
    </row>
    <row r="38" spans="3:7" ht="10" customHeight="1" x14ac:dyDescent="0.2"/>
    <row r="39" spans="3:7" ht="10" customHeight="1" x14ac:dyDescent="0.2"/>
    <row r="40" spans="3:7" ht="10" customHeight="1" x14ac:dyDescent="0.2"/>
    <row r="41" spans="3:7" ht="10" customHeight="1" x14ac:dyDescent="0.2"/>
    <row r="42" spans="3:7" ht="10" customHeight="1" x14ac:dyDescent="0.2"/>
    <row r="43" spans="3:7" ht="10" customHeight="1" x14ac:dyDescent="0.2"/>
    <row r="44" spans="3:7" ht="10" customHeight="1" x14ac:dyDescent="0.2"/>
    <row r="45" spans="3:7" ht="10" customHeight="1" x14ac:dyDescent="0.2"/>
    <row r="46" spans="3:7" ht="10" customHeight="1" x14ac:dyDescent="0.2"/>
    <row r="47" spans="3:7" ht="10" customHeight="1" x14ac:dyDescent="0.2"/>
    <row r="48" spans="3:7" ht="10" customHeight="1" x14ac:dyDescent="0.2"/>
    <row r="49" spans="2:8" ht="10" customHeight="1" x14ac:dyDescent="0.2"/>
    <row r="50" spans="2:8" ht="10" customHeight="1" x14ac:dyDescent="0.2"/>
    <row r="51" spans="2:8" ht="20" customHeight="1" x14ac:dyDescent="0.2">
      <c r="B51" s="34" t="s">
        <v>50</v>
      </c>
      <c r="C51" s="30"/>
      <c r="D51" s="30"/>
      <c r="E51" s="30"/>
      <c r="F51" s="30"/>
      <c r="G51" s="30"/>
      <c r="H51" s="30"/>
    </row>
    <row r="52" spans="2:8" ht="85" customHeight="1" x14ac:dyDescent="0.2">
      <c r="B52" s="17" t="s">
        <v>51</v>
      </c>
      <c r="C52" s="50" t="s">
        <v>52</v>
      </c>
      <c r="D52" s="51"/>
      <c r="E52" s="51"/>
      <c r="F52" s="51"/>
      <c r="G52" s="51"/>
      <c r="H52" s="51"/>
    </row>
    <row r="53" spans="2:8" ht="85" customHeight="1" x14ac:dyDescent="0.2">
      <c r="B53" s="54" t="s">
        <v>109</v>
      </c>
      <c r="C53" s="52" t="s">
        <v>53</v>
      </c>
      <c r="D53" s="51"/>
      <c r="E53" s="51"/>
      <c r="F53" s="51"/>
      <c r="G53" s="51"/>
      <c r="H53" s="51"/>
    </row>
    <row r="54" spans="2:8" ht="85" customHeight="1" x14ac:dyDescent="0.2">
      <c r="B54" s="17" t="s">
        <v>54</v>
      </c>
      <c r="C54" s="50" t="s">
        <v>55</v>
      </c>
      <c r="D54" s="53"/>
      <c r="E54" s="53"/>
      <c r="F54" s="53"/>
      <c r="G54" s="53"/>
      <c r="H54" s="53"/>
    </row>
    <row r="55" spans="2:8" ht="85" customHeight="1" x14ac:dyDescent="0.2">
      <c r="B55" s="20" t="s">
        <v>56</v>
      </c>
      <c r="C55" s="52" t="s">
        <v>57</v>
      </c>
      <c r="D55" s="53"/>
      <c r="E55" s="53"/>
      <c r="F55" s="53"/>
      <c r="G55" s="53"/>
      <c r="H55" s="53"/>
    </row>
    <row r="56" spans="2:8" x14ac:dyDescent="0.2">
      <c r="B56" s="36" t="s">
        <v>121</v>
      </c>
      <c r="C56" s="30"/>
      <c r="D56" s="30"/>
      <c r="E56" s="30"/>
      <c r="F56" s="30"/>
      <c r="G56" s="30"/>
      <c r="H56" s="30"/>
    </row>
  </sheetData>
  <mergeCells count="14">
    <mergeCell ref="B56:H56"/>
    <mergeCell ref="B51:H51"/>
    <mergeCell ref="B2:H2"/>
    <mergeCell ref="C4:H4"/>
    <mergeCell ref="C55:H55"/>
    <mergeCell ref="B19:H19"/>
    <mergeCell ref="C7:H7"/>
    <mergeCell ref="C6:H6"/>
    <mergeCell ref="C53:H53"/>
    <mergeCell ref="C54:H54"/>
    <mergeCell ref="B9:H9"/>
    <mergeCell ref="B1:H1"/>
    <mergeCell ref="C5:H5"/>
    <mergeCell ref="C52:H5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4"/>
  <sheetViews>
    <sheetView topLeftCell="A41" workbookViewId="0">
      <selection activeCell="B45" sqref="B45"/>
    </sheetView>
  </sheetViews>
  <sheetFormatPr baseColWidth="10" defaultColWidth="8.83203125" defaultRowHeight="15" x14ac:dyDescent="0.2"/>
  <cols>
    <col min="1" max="1" width="30" customWidth="1"/>
    <col min="2" max="2" width="70" customWidth="1"/>
  </cols>
  <sheetData>
    <row r="1" spans="1:2" ht="26" customHeight="1" x14ac:dyDescent="0.2">
      <c r="A1" s="32" t="s">
        <v>58</v>
      </c>
      <c r="B1" s="53"/>
    </row>
    <row r="2" spans="1:2" ht="30" customHeight="1" x14ac:dyDescent="0.2">
      <c r="A2" s="39" t="s">
        <v>110</v>
      </c>
      <c r="B2" s="53"/>
    </row>
    <row r="3" spans="1:2" x14ac:dyDescent="0.2">
      <c r="A3" s="58"/>
      <c r="B3" s="58"/>
    </row>
    <row r="4" spans="1:2" ht="20" customHeight="1" x14ac:dyDescent="0.2">
      <c r="A4" s="38" t="s">
        <v>59</v>
      </c>
      <c r="B4" s="53"/>
    </row>
    <row r="5" spans="1:2" ht="50" customHeight="1" x14ac:dyDescent="0.2">
      <c r="A5" s="28" t="s">
        <v>60</v>
      </c>
      <c r="B5" s="56" t="s">
        <v>111</v>
      </c>
    </row>
    <row r="6" spans="1:2" ht="50" customHeight="1" x14ac:dyDescent="0.2">
      <c r="A6" s="20" t="s">
        <v>61</v>
      </c>
      <c r="B6" s="55" t="s">
        <v>62</v>
      </c>
    </row>
    <row r="7" spans="1:2" ht="50" customHeight="1" x14ac:dyDescent="0.2">
      <c r="A7" s="28" t="s">
        <v>63</v>
      </c>
      <c r="B7" s="56" t="s">
        <v>64</v>
      </c>
    </row>
    <row r="8" spans="1:2" ht="50" customHeight="1" x14ac:dyDescent="0.2">
      <c r="A8" s="20" t="s">
        <v>65</v>
      </c>
      <c r="B8" s="55" t="s">
        <v>112</v>
      </c>
    </row>
    <row r="9" spans="1:2" ht="50" customHeight="1" x14ac:dyDescent="0.2">
      <c r="A9" s="28" t="s">
        <v>66</v>
      </c>
      <c r="B9" s="56" t="s">
        <v>35</v>
      </c>
    </row>
    <row r="10" spans="1:2" ht="50" customHeight="1" x14ac:dyDescent="0.2">
      <c r="A10" s="20" t="s">
        <v>67</v>
      </c>
      <c r="B10" s="55" t="s">
        <v>113</v>
      </c>
    </row>
    <row r="11" spans="1:2" ht="50" customHeight="1" x14ac:dyDescent="0.2">
      <c r="A11" s="28" t="s">
        <v>68</v>
      </c>
      <c r="B11" s="56" t="s">
        <v>69</v>
      </c>
    </row>
    <row r="12" spans="1:2" x14ac:dyDescent="0.2">
      <c r="A12" s="58"/>
      <c r="B12" s="58"/>
    </row>
    <row r="13" spans="1:2" ht="20" customHeight="1" x14ac:dyDescent="0.2">
      <c r="A13" s="38" t="s">
        <v>70</v>
      </c>
      <c r="B13" s="53"/>
    </row>
    <row r="14" spans="1:2" ht="50" customHeight="1" x14ac:dyDescent="0.2">
      <c r="A14" s="20" t="s">
        <v>71</v>
      </c>
      <c r="B14" s="55" t="s">
        <v>72</v>
      </c>
    </row>
    <row r="15" spans="1:2" ht="50" customHeight="1" x14ac:dyDescent="0.2">
      <c r="A15" s="28" t="s">
        <v>73</v>
      </c>
      <c r="B15" s="56" t="s">
        <v>115</v>
      </c>
    </row>
    <row r="16" spans="1:2" ht="50" customHeight="1" x14ac:dyDescent="0.2">
      <c r="A16" s="20" t="s">
        <v>74</v>
      </c>
      <c r="B16" s="55" t="s">
        <v>75</v>
      </c>
    </row>
    <row r="17" spans="1:2" ht="50" customHeight="1" x14ac:dyDescent="0.2">
      <c r="A17" s="28" t="s">
        <v>76</v>
      </c>
      <c r="B17" s="56" t="s">
        <v>114</v>
      </c>
    </row>
    <row r="18" spans="1:2" x14ac:dyDescent="0.2">
      <c r="A18" s="58"/>
      <c r="B18" s="58"/>
    </row>
    <row r="19" spans="1:2" ht="20" customHeight="1" x14ac:dyDescent="0.2">
      <c r="A19" s="38" t="s">
        <v>77</v>
      </c>
      <c r="B19" s="53"/>
    </row>
    <row r="20" spans="1:2" ht="50" customHeight="1" x14ac:dyDescent="0.2">
      <c r="A20" s="20" t="s">
        <v>26</v>
      </c>
      <c r="B20" s="55" t="s">
        <v>78</v>
      </c>
    </row>
    <row r="21" spans="1:2" ht="50" customHeight="1" x14ac:dyDescent="0.2">
      <c r="A21" s="28" t="s">
        <v>28</v>
      </c>
      <c r="B21" s="56" t="s">
        <v>79</v>
      </c>
    </row>
    <row r="22" spans="1:2" ht="50" customHeight="1" x14ac:dyDescent="0.2">
      <c r="A22" s="20" t="s">
        <v>80</v>
      </c>
      <c r="B22" s="55" t="s">
        <v>81</v>
      </c>
    </row>
    <row r="23" spans="1:2" ht="50" customHeight="1" x14ac:dyDescent="0.2">
      <c r="A23" s="28" t="s">
        <v>10</v>
      </c>
      <c r="B23" s="56" t="s">
        <v>82</v>
      </c>
    </row>
    <row r="24" spans="1:2" ht="50" customHeight="1" x14ac:dyDescent="0.2">
      <c r="A24" s="20" t="s">
        <v>13</v>
      </c>
      <c r="B24" s="55" t="s">
        <v>83</v>
      </c>
    </row>
    <row r="25" spans="1:2" ht="50" customHeight="1" x14ac:dyDescent="0.2">
      <c r="A25" s="28" t="s">
        <v>84</v>
      </c>
      <c r="B25" s="56" t="s">
        <v>85</v>
      </c>
    </row>
    <row r="26" spans="1:2" x14ac:dyDescent="0.2">
      <c r="A26" s="58"/>
      <c r="B26" s="58"/>
    </row>
    <row r="27" spans="1:2" ht="20" customHeight="1" x14ac:dyDescent="0.2">
      <c r="A27" s="38" t="s">
        <v>86</v>
      </c>
      <c r="B27" s="53"/>
    </row>
    <row r="28" spans="1:2" ht="50" customHeight="1" x14ac:dyDescent="0.2">
      <c r="A28" s="20" t="s">
        <v>87</v>
      </c>
      <c r="B28" s="55" t="s">
        <v>88</v>
      </c>
    </row>
    <row r="29" spans="1:2" ht="50" customHeight="1" x14ac:dyDescent="0.2">
      <c r="A29" s="28" t="s">
        <v>89</v>
      </c>
      <c r="B29" s="56" t="s">
        <v>90</v>
      </c>
    </row>
    <row r="30" spans="1:2" ht="50" customHeight="1" x14ac:dyDescent="0.2">
      <c r="A30" s="20" t="s">
        <v>91</v>
      </c>
      <c r="B30" s="55" t="s">
        <v>92</v>
      </c>
    </row>
    <row r="31" spans="1:2" ht="50" customHeight="1" x14ac:dyDescent="0.2">
      <c r="A31" s="28" t="s">
        <v>76</v>
      </c>
      <c r="B31" s="56" t="s">
        <v>116</v>
      </c>
    </row>
    <row r="32" spans="1:2" x14ac:dyDescent="0.2">
      <c r="A32" s="58"/>
      <c r="B32" s="58"/>
    </row>
    <row r="33" spans="1:2" ht="20" customHeight="1" x14ac:dyDescent="0.2">
      <c r="A33" s="38" t="s">
        <v>93</v>
      </c>
      <c r="B33" s="53"/>
    </row>
    <row r="34" spans="1:2" ht="50" customHeight="1" x14ac:dyDescent="0.2">
      <c r="A34" s="20" t="s">
        <v>94</v>
      </c>
      <c r="B34" s="55" t="s">
        <v>117</v>
      </c>
    </row>
    <row r="35" spans="1:2" ht="50" customHeight="1" x14ac:dyDescent="0.2">
      <c r="A35" s="28" t="s">
        <v>95</v>
      </c>
      <c r="B35" s="56" t="s">
        <v>96</v>
      </c>
    </row>
    <row r="36" spans="1:2" ht="50" customHeight="1" x14ac:dyDescent="0.2">
      <c r="A36" s="20" t="s">
        <v>97</v>
      </c>
      <c r="B36" s="55" t="s">
        <v>98</v>
      </c>
    </row>
    <row r="37" spans="1:2" ht="50" customHeight="1" x14ac:dyDescent="0.2">
      <c r="A37" s="28" t="s">
        <v>99</v>
      </c>
      <c r="B37" s="56" t="s">
        <v>100</v>
      </c>
    </row>
    <row r="38" spans="1:2" x14ac:dyDescent="0.2">
      <c r="A38" s="58"/>
      <c r="B38" s="58"/>
    </row>
    <row r="39" spans="1:2" ht="20" customHeight="1" x14ac:dyDescent="0.2">
      <c r="A39" s="38" t="s">
        <v>101</v>
      </c>
      <c r="B39" s="53"/>
    </row>
    <row r="40" spans="1:2" ht="50" customHeight="1" x14ac:dyDescent="0.2">
      <c r="A40" s="20" t="s">
        <v>32</v>
      </c>
      <c r="B40" s="55" t="s">
        <v>33</v>
      </c>
    </row>
    <row r="41" spans="1:2" ht="50" customHeight="1" x14ac:dyDescent="0.2">
      <c r="A41" s="28" t="s">
        <v>102</v>
      </c>
      <c r="B41" s="56" t="s">
        <v>35</v>
      </c>
    </row>
    <row r="42" spans="1:2" ht="50" customHeight="1" x14ac:dyDescent="0.2">
      <c r="A42" s="20" t="s">
        <v>103</v>
      </c>
      <c r="B42" s="55" t="s">
        <v>118</v>
      </c>
    </row>
    <row r="43" spans="1:2" ht="50" customHeight="1" x14ac:dyDescent="0.2">
      <c r="A43" s="28" t="s">
        <v>104</v>
      </c>
      <c r="B43" s="56" t="s">
        <v>119</v>
      </c>
    </row>
    <row r="44" spans="1:2" ht="50" customHeight="1" x14ac:dyDescent="0.2">
      <c r="A44" s="20" t="s">
        <v>105</v>
      </c>
      <c r="B44" s="57" t="s">
        <v>120</v>
      </c>
    </row>
  </sheetData>
  <mergeCells count="8">
    <mergeCell ref="A1:B1"/>
    <mergeCell ref="A27:B27"/>
    <mergeCell ref="A39:B39"/>
    <mergeCell ref="A4:B4"/>
    <mergeCell ref="A2:B2"/>
    <mergeCell ref="A19:B19"/>
    <mergeCell ref="A33:B33"/>
    <mergeCell ref="A13:B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MI Report</vt:lpstr>
      <vt:lpstr>Methodology</vt:lpstr>
      <vt:lpstr>'MI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dorcas.aina@outlook.com</cp:lastModifiedBy>
  <dcterms:created xsi:type="dcterms:W3CDTF">2026-04-12T16:58:47Z</dcterms:created>
  <dcterms:modified xsi:type="dcterms:W3CDTF">2026-04-12T17:25:19Z</dcterms:modified>
</cp:coreProperties>
</file>